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Remode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B2C6F"/>
      <sz val="13"/>
    </font>
    <font>
      <i val="1"/>
      <color rgb="00595959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884EA0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0" customWidth="1" min="4" max="4"/>
    <col width="32" customWidth="1" min="5" max="5"/>
    <col width="26" customWidth="1" min="6" max="6"/>
    <col width="32" customWidth="1" min="7" max="7"/>
    <col width="40" customWidth="1" min="8" max="8"/>
    <col width="15" customWidth="1" min="9" max="9"/>
    <col width="26" customWidth="1" min="10" max="10"/>
  </cols>
  <sheetData>
    <row r="1" ht="32" customHeight="1">
      <c r="A1" s="1" t="inlineStr">
        <is>
          <t>CUESTIONARIO DE FUENTES · REMODELACIÓN — para ALEJANDRA</t>
        </is>
      </c>
    </row>
    <row r="2" ht="72" customHeight="1">
      <c r="A2" s="2" t="inlineStr">
        <is>
          <t>INSTRUCTIVO para Alejandra: cada fila es un número que la plataforma de Remodelación muestra. En las 3 columnas AMARILLAS escribí: (1) la RUTA exacta en Airtable de dónde sale ese dato (base → tabla → columna/vista), o la fuente si es cálculo/QBO; (2) Sí/No si la app lo muestra bien; (3) la corrección si está mal. Empezá por las filas naranjas (⚠), que son las que hoy NO cuadran o confunden (ej. dos EBITDA distintos, '1 trabajador para 8 obras', obras duplicadas). Meta: que los números de remodelación sean REALES y consistentes, y que sepamos de dónde sale cada uno.</t>
        </is>
      </c>
    </row>
    <row r="4">
      <c r="A4" s="3" t="inlineStr">
        <is>
          <t>#</t>
        </is>
      </c>
      <c r="B4" s="3" t="inlineStr">
        <is>
          <t>Pantalla (Remodelación)</t>
        </is>
      </c>
      <c r="C4" s="3" t="inlineStr">
        <is>
          <t>Número o campo</t>
        </is>
      </c>
      <c r="D4" s="3" t="inlineStr">
        <is>
          <t>Valor que muestra hoy</t>
        </is>
      </c>
      <c r="E4" s="3" t="inlineStr">
        <is>
          <t>Qué es / lectura de Claude</t>
        </is>
      </c>
      <c r="F4" s="3" t="inlineStr">
        <is>
          <t>Fuente que usa/sospecha la app</t>
        </is>
      </c>
      <c r="G4" s="3" t="inlineStr">
        <is>
          <t>⚠ Hallazgo (revisar)</t>
        </is>
      </c>
      <c r="H4" s="3" t="inlineStr">
        <is>
          <t>RUTA EN AIRTABLE — ALEJANDRA LLENA (base → tabla → columna/vista)</t>
        </is>
      </c>
      <c r="I4" s="3" t="inlineStr">
        <is>
          <t>¿La app lo muestra bien? (Sí/No)</t>
        </is>
      </c>
      <c r="J4" s="3" t="inlineStr">
        <is>
          <t>Corrección / nota — ALEJANDRA</t>
        </is>
      </c>
    </row>
    <row r="5" ht="22" customHeight="1">
      <c r="A5" s="4" t="inlineStr">
        <is>
          <t>A · COMMAND CENTER (Remodelación)</t>
        </is>
      </c>
    </row>
    <row r="6" ht="30" customHeight="1">
      <c r="A6" s="5" t="n">
        <v>1</v>
      </c>
      <c r="B6" s="5" t="inlineStr">
        <is>
          <t>Command Center</t>
        </is>
      </c>
      <c r="C6" s="5" t="inlineStr">
        <is>
          <t>Servicio (remodelación)</t>
        </is>
      </c>
      <c r="D6" s="5" t="inlineStr">
        <is>
          <t>$234k</t>
        </is>
      </c>
      <c r="E6" s="5" t="inlineStr">
        <is>
          <t>utilidad limpia (ganancia bruta) de 19 obras finalizadas · margen 17% · con Draws $169k</t>
        </is>
      </c>
      <c r="F6" s="5" t="inlineStr">
        <is>
          <t>cálculo sobre ff_draws/remodel</t>
        </is>
      </c>
      <c r="G6" s="6" t="inlineStr">
        <is>
          <t>confirmar qué obras cuentan (19 finalizadas) y qué es 'con Draws $169k'</t>
        </is>
      </c>
      <c r="H6" s="7" t="inlineStr"/>
      <c r="I6" s="7" t="inlineStr"/>
      <c r="J6" s="7" t="inlineStr"/>
    </row>
    <row r="7" ht="30" customHeight="1">
      <c r="A7" s="5" t="n">
        <v>2</v>
      </c>
      <c r="B7" s="5" t="inlineStr">
        <is>
          <t>Command Center</t>
        </is>
      </c>
      <c r="C7" s="5" t="inlineStr">
        <is>
          <t>Costo Fix &amp; Flip</t>
        </is>
      </c>
      <c r="D7" s="5" t="inlineStr">
        <is>
          <t>$240k</t>
        </is>
      </c>
      <c r="E7" s="5" t="inlineStr">
        <is>
          <t>lo que Fix&amp;Flip pagó por remodelación: intereses + servicios públicos + muebles del flip</t>
        </is>
      </c>
      <c r="F7" s="5" t="inlineStr">
        <is>
          <t>cálculo</t>
        </is>
      </c>
      <c r="G7" s="6" t="inlineStr">
        <is>
          <t>⚠ mezcla costos del flip (intereses/servicios) con 'muebles' — confirmar qué incluye y de dónde</t>
        </is>
      </c>
      <c r="H7" s="7" t="inlineStr"/>
      <c r="I7" s="7" t="inlineStr"/>
      <c r="J7" s="7" t="inlineStr"/>
    </row>
    <row r="8" ht="30" customHeight="1">
      <c r="A8" s="5" t="n">
        <v>3</v>
      </c>
      <c r="B8" s="5" t="inlineStr">
        <is>
          <t>Command Center</t>
        </is>
      </c>
      <c r="C8" s="5" t="inlineStr">
        <is>
          <t>Total empresa</t>
        </is>
      </c>
      <c r="D8" s="5" t="inlineStr">
        <is>
          <t>-$6.8k</t>
        </is>
      </c>
      <c r="E8" s="5" t="inlineStr">
        <is>
          <t>servicio $234k − costo F&amp;F $240k</t>
        </is>
      </c>
      <c r="F8" s="5" t="inlineStr">
        <is>
          <t>cálculo intercompañía</t>
        </is>
      </c>
      <c r="G8" s="6" t="inlineStr">
        <is>
          <t>⚠ CONFUSO: netea utilidad de una empresa contra costo de otra. Confirmar si esa resta tiene sentido contable</t>
        </is>
      </c>
      <c r="H8" s="7" t="inlineStr"/>
      <c r="I8" s="7" t="inlineStr"/>
      <c r="J8" s="7" t="inlineStr"/>
    </row>
    <row r="9" ht="30" customHeight="1">
      <c r="A9" s="5" t="n">
        <v>4</v>
      </c>
      <c r="B9" s="5" t="inlineStr">
        <is>
          <t>Command Center</t>
        </is>
      </c>
      <c r="C9" s="5" t="inlineStr">
        <is>
          <t>Obras en curso</t>
        </is>
      </c>
      <c r="D9" s="5" t="inlineStr">
        <is>
          <t>8</t>
        </is>
      </c>
      <c r="E9" s="5" t="inlineStr">
        <is>
          <t>obras activas · avance prom 36% · 27 obras totales</t>
        </is>
      </c>
      <c r="F9" s="5" t="inlineStr">
        <is>
          <t>remodel proyectos (status活)</t>
        </is>
      </c>
      <c r="G9" s="6" t="inlineStr">
        <is>
          <t>confirmar conteo activo vs 31 proyectos del remodel-pro (¿duplicados?)</t>
        </is>
      </c>
      <c r="H9" s="7" t="inlineStr"/>
      <c r="I9" s="7" t="inlineStr"/>
      <c r="J9" s="7" t="inlineStr"/>
    </row>
    <row r="10" ht="30" customHeight="1">
      <c r="A10" s="5" t="n">
        <v>5</v>
      </c>
      <c r="B10" s="5" t="inlineStr">
        <is>
          <t>Command Center</t>
        </is>
      </c>
      <c r="C10" s="5" t="inlineStr">
        <is>
          <t>Capital desplegado</t>
        </is>
      </c>
      <c r="D10" s="5" t="inlineStr">
        <is>
          <t>$302k</t>
        </is>
      </c>
      <c r="E10" s="5" t="inlineStr">
        <is>
          <t>gastado en obras activas · presupuesto $572k</t>
        </is>
      </c>
      <c r="F10" s="5" t="inlineStr">
        <is>
          <t>cálculo</t>
        </is>
      </c>
      <c r="G10" s="6" t="inlineStr">
        <is>
          <t>¿de qué campo sale lo desplegado vs presupuesto?</t>
        </is>
      </c>
      <c r="H10" s="7" t="inlineStr"/>
      <c r="I10" s="7" t="inlineStr"/>
      <c r="J10" s="7" t="inlineStr"/>
    </row>
    <row r="11" ht="30" customHeight="1">
      <c r="A11" s="5" t="n">
        <v>6</v>
      </c>
      <c r="B11" s="5" t="inlineStr">
        <is>
          <t>Command Center</t>
        </is>
      </c>
      <c r="C11" s="5" t="inlineStr">
        <is>
          <t>Pipeline proyectado</t>
        </is>
      </c>
      <c r="D11" s="5" t="inlineStr">
        <is>
          <t>$108k</t>
        </is>
      </c>
      <c r="E11" s="5" t="inlineStr">
        <is>
          <t>NO realizado · 2 en pre-construcción</t>
        </is>
      </c>
      <c r="F11" s="5" t="inlineStr">
        <is>
          <t>cálculo</t>
        </is>
      </c>
      <c r="G11" s="6" t="inlineStr">
        <is>
          <t>confirmar qué es pipeline vs backlog ($362,855 en el otro dashboard)</t>
        </is>
      </c>
      <c r="H11" s="7" t="inlineStr"/>
      <c r="I11" s="7" t="inlineStr"/>
      <c r="J11" s="7" t="inlineStr"/>
    </row>
    <row r="12" ht="30" customHeight="1">
      <c r="A12" s="5" t="n">
        <v>7</v>
      </c>
      <c r="B12" s="5" t="inlineStr">
        <is>
          <t>Command Center</t>
        </is>
      </c>
      <c r="C12" s="5" t="inlineStr">
        <is>
          <t>Alertas</t>
        </is>
      </c>
      <c r="D12" s="5" t="inlineStr">
        <is>
          <t>6</t>
        </is>
      </c>
      <c r="E12" s="5" t="inlineStr">
        <is>
          <t>sobre-presupuesto / atraso</t>
        </is>
      </c>
      <c r="F12" s="5" t="inlineStr">
        <is>
          <t>reglas app</t>
        </is>
      </c>
      <c r="G12" s="6" t="inlineStr">
        <is>
          <t>confirmar reglas (ej. 2425 Bitter Creek +385% — ¿real o dato malo?)</t>
        </is>
      </c>
      <c r="H12" s="7" t="inlineStr"/>
      <c r="I12" s="7" t="inlineStr"/>
      <c r="J12" s="7" t="inlineStr"/>
    </row>
    <row r="13" ht="30" customHeight="1">
      <c r="A13" s="5" t="n">
        <v>8</v>
      </c>
      <c r="B13" s="5" t="inlineStr">
        <is>
          <t>Command Center</t>
        </is>
      </c>
      <c r="C13" s="5" t="inlineStr">
        <is>
          <t>Rentabilidad prom</t>
        </is>
      </c>
      <c r="D13" s="5" t="inlineStr">
        <is>
          <t>16.8%</t>
        </is>
      </c>
      <c r="E13" s="5" t="inlineStr">
        <is>
          <t>utilidad / valor cliente (limpia) · 19 finalizadas</t>
        </is>
      </c>
      <c r="F13" s="5" t="inlineStr">
        <is>
          <t>cálculo</t>
        </is>
      </c>
      <c r="G13" s="6">
        <f> margen bruto obras. OK si cuadra con lo real</f>
        <v/>
      </c>
      <c r="H13" s="7" t="inlineStr"/>
      <c r="I13" s="7" t="inlineStr"/>
      <c r="J13" s="7" t="inlineStr"/>
    </row>
    <row r="14" ht="30" customHeight="1">
      <c r="A14" s="5" t="n">
        <v>9</v>
      </c>
      <c r="B14" s="5" t="inlineStr">
        <is>
          <t>Command Center</t>
        </is>
      </c>
      <c r="C14" s="5" t="inlineStr">
        <is>
          <t>Desviación de costo prom</t>
        </is>
      </c>
      <c r="D14" s="5" t="inlineStr">
        <is>
          <t>-8%</t>
        </is>
      </c>
      <c r="E14" s="5" t="inlineStr">
        <is>
          <t>real vs presupuesto · 68% en presupuesto</t>
        </is>
      </c>
      <c r="F14" s="5" t="inlineStr">
        <is>
          <t>cálculo</t>
        </is>
      </c>
      <c r="G14" s="6" t="inlineStr">
        <is>
          <t>confirmar</t>
        </is>
      </c>
      <c r="H14" s="7" t="inlineStr"/>
      <c r="I14" s="7" t="inlineStr"/>
      <c r="J14" s="7" t="inlineStr"/>
    </row>
    <row r="15" ht="30" customHeight="1">
      <c r="A15" s="5" t="n">
        <v>10</v>
      </c>
      <c r="B15" s="5" t="inlineStr">
        <is>
          <t>Command Center</t>
        </is>
      </c>
      <c r="C15" s="5" t="inlineStr">
        <is>
          <t>Desviación de días prom</t>
        </is>
      </c>
      <c r="D15" s="5" t="inlineStr">
        <is>
          <t>-2d</t>
        </is>
      </c>
      <c r="E15" s="5" t="inlineStr">
        <is>
          <t>mediana 0d · 63% a tiempo</t>
        </is>
      </c>
      <c r="F15" s="5" t="inlineStr">
        <is>
          <t>cálculo (fechas)</t>
        </is>
      </c>
      <c r="G15" s="6" t="inlineStr">
        <is>
          <t>confirmar fuente de fechas plan vs real</t>
        </is>
      </c>
      <c r="H15" s="7" t="inlineStr"/>
      <c r="I15" s="7" t="inlineStr"/>
      <c r="J15" s="7" t="inlineStr"/>
    </row>
    <row r="16" ht="22" customHeight="1">
      <c r="A16" s="4" t="inlineStr">
        <is>
          <t>B · OVERHEAD / EBITDA</t>
        </is>
      </c>
    </row>
    <row r="17" ht="30" customHeight="1">
      <c r="A17" s="5" t="n">
        <v>11</v>
      </c>
      <c r="B17" s="5" t="inlineStr">
        <is>
          <t>Command Center</t>
        </is>
      </c>
      <c r="C17" s="5" t="inlineStr">
        <is>
          <t>Ganancia bruta</t>
        </is>
      </c>
      <c r="D17" s="5" t="inlineStr">
        <is>
          <t>$234k</t>
        </is>
      </c>
      <c r="E17" s="5" t="inlineStr">
        <is>
          <t>de obras, antes de overhead</t>
        </is>
      </c>
      <c r="F17" s="5">
        <f> servicio remodelación</f>
        <v/>
      </c>
      <c r="G17" s="6" t="inlineStr">
        <is>
          <t>OK</t>
        </is>
      </c>
      <c r="H17" s="7" t="inlineStr"/>
      <c r="I17" s="7" t="inlineStr"/>
      <c r="J17" s="7" t="inlineStr"/>
    </row>
    <row r="18" ht="30" customHeight="1">
      <c r="A18" s="5" t="n">
        <v>12</v>
      </c>
      <c r="B18" s="5" t="inlineStr">
        <is>
          <t>Command Center</t>
        </is>
      </c>
      <c r="C18" s="5" t="inlineStr">
        <is>
          <t>Overhead del período</t>
        </is>
      </c>
      <c r="D18" s="5" t="inlineStr">
        <is>
          <t>$153k</t>
        </is>
      </c>
      <c r="E18" s="5" t="inlineStr">
        <is>
          <t>nómina admin $106k + gastos $34.6k + plataformas $12.4k</t>
        </is>
      </c>
      <c r="F18" s="5" t="inlineStr">
        <is>
          <t>cálculo (nómina/gastos)</t>
        </is>
      </c>
      <c r="G18" s="6" t="inlineStr">
        <is>
          <t>⚠ el Dashboard Ejecutivo usa overhead $135,828 → EBITDA $97,761; aquí overhead $153k → utilidad neta $80.9k. DOS overhead / DOS EBITDA. Unificar</t>
        </is>
      </c>
      <c r="H18" s="7" t="inlineStr"/>
      <c r="I18" s="7" t="inlineStr"/>
      <c r="J18" s="7" t="inlineStr"/>
    </row>
    <row r="19" ht="30" customHeight="1">
      <c r="A19" s="5" t="n">
        <v>13</v>
      </c>
      <c r="B19" s="5" t="inlineStr">
        <is>
          <t>Command Center</t>
        </is>
      </c>
      <c r="C19" s="5" t="inlineStr">
        <is>
          <t>Utilidad neta (EBITDA aprox)</t>
        </is>
      </c>
      <c r="D19" s="5" t="inlineStr">
        <is>
          <t>$80.9k</t>
        </is>
      </c>
      <c r="E19" s="5" t="inlineStr">
        <is>
          <t>bruta − overhead</t>
        </is>
      </c>
      <c r="F19" s="5" t="inlineStr">
        <is>
          <t>cálculo</t>
        </is>
      </c>
      <c r="G19" s="6" t="inlineStr">
        <is>
          <t>⚠ ≠ EBITDA $97,761 del Dashboard Ejecutivo. Definir UNA fórmula de EBITDA de remodelación</t>
        </is>
      </c>
      <c r="H19" s="7" t="inlineStr"/>
      <c r="I19" s="7" t="inlineStr"/>
      <c r="J19" s="7" t="inlineStr"/>
    </row>
    <row r="20" ht="22" customHeight="1">
      <c r="A20" s="4" t="inlineStr">
        <is>
          <t>C · DASHBOARD EJECUTIVO · Remodelación</t>
        </is>
      </c>
    </row>
    <row r="21" ht="30" customHeight="1">
      <c r="A21" s="5" t="n">
        <v>14</v>
      </c>
      <c r="B21" s="5" t="inlineStr">
        <is>
          <t>Dashboard Ejec.</t>
        </is>
      </c>
      <c r="C21" s="5" t="inlineStr">
        <is>
          <t>EBITDA (limpio)</t>
        </is>
      </c>
      <c r="D21" s="5" t="inlineStr">
        <is>
          <t>$97,761</t>
        </is>
      </c>
      <c r="E21" s="5" t="inlineStr">
        <is>
          <t>utilidad limpia $233,589 − overhead $135,828 (capex $16,850 fuera)</t>
        </is>
      </c>
      <c r="F21" s="5" t="inlineStr">
        <is>
          <t>Σ utilidad_remodelacion − overhead opex</t>
        </is>
      </c>
      <c r="G21" s="6" t="inlineStr">
        <is>
          <t>⚠ overhead $135,828 vs $153k del Command Center. Cuál es</t>
        </is>
      </c>
      <c r="H21" s="7" t="inlineStr"/>
      <c r="I21" s="7" t="inlineStr"/>
      <c r="J21" s="7" t="inlineStr"/>
    </row>
    <row r="22" ht="30" customHeight="1">
      <c r="A22" s="5" t="n">
        <v>15</v>
      </c>
      <c r="B22" s="5" t="inlineStr">
        <is>
          <t>Dashboard Ejec.</t>
        </is>
      </c>
      <c r="C22" s="5" t="inlineStr">
        <is>
          <t>Margen bruto obras</t>
        </is>
      </c>
      <c r="D22" s="5" t="inlineStr">
        <is>
          <t>16.8%</t>
        </is>
      </c>
      <c r="E22" s="5" t="inlineStr">
        <is>
          <t>Σ utilidad ÷ Σ valor cliente (criterio B9)</t>
        </is>
      </c>
      <c r="F22" s="5" t="inlineStr">
        <is>
          <t>cálculo</t>
        </is>
      </c>
      <c r="G22" s="6" t="inlineStr">
        <is>
          <t>OK (=rentabilidad prom)</t>
        </is>
      </c>
      <c r="H22" s="7" t="inlineStr"/>
      <c r="I22" s="7" t="inlineStr"/>
      <c r="J22" s="7" t="inlineStr"/>
    </row>
    <row r="23" ht="30" customHeight="1">
      <c r="A23" s="5" t="n">
        <v>16</v>
      </c>
      <c r="B23" s="5" t="inlineStr">
        <is>
          <t>Dashboard Ejec.</t>
        </is>
      </c>
      <c r="C23" s="5" t="inlineStr">
        <is>
          <t>Backlog</t>
        </is>
      </c>
      <c r="D23" s="5" t="inlineStr">
        <is>
          <t>$362,855</t>
        </is>
      </c>
      <c r="E23" s="5" t="inlineStr">
        <is>
          <t>Σ (valor cliente − gasto interno) obras activas</t>
        </is>
      </c>
      <c r="F23" s="5" t="inlineStr">
        <is>
          <t>cálculo</t>
        </is>
      </c>
      <c r="G23" s="6" t="inlineStr">
        <is>
          <t>confirmar vs 'pipeline $108k' del Command Center — ¿son lo mismo?</t>
        </is>
      </c>
      <c r="H23" s="7" t="inlineStr"/>
      <c r="I23" s="7" t="inlineStr"/>
      <c r="J23" s="7" t="inlineStr"/>
    </row>
    <row r="24" ht="30" customHeight="1">
      <c r="A24" s="5" t="n">
        <v>17</v>
      </c>
      <c r="B24" s="5" t="inlineStr">
        <is>
          <t>Dashboard Ejec.</t>
        </is>
      </c>
      <c r="C24" s="5" t="inlineStr">
        <is>
          <t>Desviación costo · días</t>
        </is>
      </c>
      <c r="D24" s="5" t="inlineStr">
        <is>
          <t>-4.5% · 0d</t>
        </is>
      </c>
      <c r="E24" s="5" t="inlineStr">
        <is>
          <t>gasto real vs presupuesto · fin real vs plan</t>
        </is>
      </c>
      <c r="F24" s="5" t="inlineStr">
        <is>
          <t>mediana finalizadas</t>
        </is>
      </c>
      <c r="G24" s="6" t="inlineStr">
        <is>
          <t>confirmar vs -8%/-2d del Command Center (difieren)</t>
        </is>
      </c>
      <c r="H24" s="7" t="inlineStr"/>
      <c r="I24" s="7" t="inlineStr"/>
      <c r="J24" s="7" t="inlineStr"/>
    </row>
    <row r="25" ht="30" customHeight="1">
      <c r="A25" s="5" t="n">
        <v>18</v>
      </c>
      <c r="B25" s="5" t="inlineStr">
        <is>
          <t>Dashboard Ejec.</t>
        </is>
      </c>
      <c r="C25" s="5" t="inlineStr">
        <is>
          <t>$/sqft real vs cobrado</t>
        </is>
      </c>
      <c r="D25" s="5" t="inlineStr">
        <is>
          <t>$44.67 / $52.38</t>
        </is>
      </c>
      <c r="E25" s="5" t="inlineStr">
        <is>
          <t>gasto interno÷sqft · valor cliente÷sqft</t>
        </is>
      </c>
      <c r="F25" s="5" t="inlineStr">
        <is>
          <t>cálculo</t>
        </is>
      </c>
      <c r="G25" s="6" t="inlineStr">
        <is>
          <t>confirmar</t>
        </is>
      </c>
      <c r="H25" s="7" t="inlineStr"/>
      <c r="I25" s="7" t="inlineStr"/>
      <c r="J25" s="7" t="inlineStr"/>
    </row>
    <row r="26" ht="22" customHeight="1">
      <c r="A26" s="4" t="inlineStr">
        <is>
          <t>D · UNIT ECONOMICS POR OBRA / ESTIMADOR</t>
        </is>
      </c>
    </row>
    <row r="27" ht="30" customHeight="1">
      <c r="A27" s="5" t="n">
        <v>19</v>
      </c>
      <c r="B27" s="5" t="inlineStr">
        <is>
          <t>Unit econ.</t>
        </is>
      </c>
      <c r="C27" s="5" t="inlineStr">
        <is>
          <t>GAP por obra</t>
        </is>
      </c>
      <c r="D27" s="5" t="inlineStr">
        <is>
          <t>varía</t>
        </is>
      </c>
      <c r="E27" s="5" t="inlineStr">
        <is>
          <t>Draws recibidos − Cobrado al cliente (ej. Bethune $170k−$130k=$40k)</t>
        </is>
      </c>
      <c r="F27" s="5" t="inlineStr">
        <is>
          <t>cálculo</t>
        </is>
      </c>
      <c r="G27" s="6" t="inlineStr">
        <is>
          <t>⚠ CEO no entiende el GAP — explicar; confirmar qué es 'cobrado al cliente' y de dónde</t>
        </is>
      </c>
      <c r="H27" s="7" t="inlineStr"/>
      <c r="I27" s="7" t="inlineStr"/>
      <c r="J27" s="7" t="inlineStr"/>
    </row>
    <row r="28" ht="30" customHeight="1">
      <c r="A28" s="5" t="n">
        <v>20</v>
      </c>
      <c r="B28" s="5" t="inlineStr">
        <is>
          <t>Unit econ.</t>
        </is>
      </c>
      <c r="C28" s="5" t="inlineStr">
        <is>
          <t>Gasto interno / Utilidad / Rent.%</t>
        </is>
      </c>
      <c r="D28" s="5" t="inlineStr">
        <is>
          <t>por obra</t>
        </is>
      </c>
      <c r="E28" s="5" t="inlineStr">
        <is>
          <t>gasto real de la obra / cobrado−gasto / margen</t>
        </is>
      </c>
      <c r="F28" s="5" t="inlineStr">
        <is>
          <t>remodel</t>
        </is>
      </c>
      <c r="G28" s="6" t="inlineStr">
        <is>
          <t>⚠ varias finalizadas con utilidad negativa (Garden Path −$2,052) — ¿obra con pérdida o dato malo?</t>
        </is>
      </c>
      <c r="H28" s="7" t="inlineStr"/>
      <c r="I28" s="7" t="inlineStr"/>
      <c r="J28" s="7" t="inlineStr"/>
    </row>
    <row r="29" ht="30" customHeight="1">
      <c r="A29" s="5" t="n">
        <v>21</v>
      </c>
      <c r="B29" s="5" t="inlineStr">
        <is>
          <t>Estimador</t>
        </is>
      </c>
      <c r="C29" s="5" t="inlineStr">
        <is>
          <t>Utilización de cuadrillas</t>
        </is>
      </c>
      <c r="D29" s="5" t="inlineStr">
        <is>
          <t>2,144h · 1 trabajador · 8 obras</t>
        </is>
      </c>
      <c r="E29" s="5" t="inlineStr">
        <is>
          <t>horas trabajadas 28 días</t>
        </is>
      </c>
      <c r="F29" s="5" t="inlineStr">
        <is>
          <t>remodel_worker_hours</t>
        </is>
      </c>
      <c r="G29" s="6" t="inlineStr">
        <is>
          <t>⚠ IMPOSIBLE: 1 trabajador no hace 2,144h/28d. Faltan trabajadores o horas mal agregadas</t>
        </is>
      </c>
      <c r="H29" s="7" t="inlineStr"/>
      <c r="I29" s="7" t="inlineStr"/>
      <c r="J29" s="7" t="inlineStr"/>
    </row>
    <row r="30" ht="30" customHeight="1">
      <c r="A30" s="5" t="n">
        <v>22</v>
      </c>
      <c r="B30" s="5" t="inlineStr">
        <is>
          <t>Estimador</t>
        </is>
      </c>
      <c r="C30" s="5" t="inlineStr">
        <is>
          <t>Casas calibradoras (5) $/sqft</t>
        </is>
      </c>
      <c r="D30" s="5" t="inlineStr">
        <is>
          <t>Arcadia $46 … Ramble $63</t>
        </is>
      </c>
      <c r="E30" s="5" t="inlineStr">
        <is>
          <t>data real de obras finalizadas para calibrar</t>
        </is>
      </c>
      <c r="F30" s="5" t="inlineStr">
        <is>
          <t>remodel (obras finalizadas)</t>
        </is>
      </c>
      <c r="G30" s="6" t="inlineStr">
        <is>
          <t>confirmar que las 5 son reales y correctas</t>
        </is>
      </c>
      <c r="H30" s="7" t="inlineStr"/>
      <c r="I30" s="7" t="inlineStr"/>
      <c r="J30" s="7" t="inlineStr"/>
    </row>
    <row r="31" ht="30" customHeight="1">
      <c r="A31" s="5" t="n">
        <v>23</v>
      </c>
      <c r="B31" s="5" t="inlineStr">
        <is>
          <t>Estimador</t>
        </is>
      </c>
      <c r="C31" s="5" t="inlineStr">
        <is>
          <t>Proyectos en $0 / duplicados</t>
        </is>
      </c>
      <c r="D31" s="5" t="inlineStr">
        <is>
          <t>varias 'active' $0</t>
        </is>
      </c>
      <c r="E31" s="5" t="inlineStr">
        <is>
          <t>estimaciones vacías</t>
        </is>
      </c>
      <c r="F31" s="5" t="inlineStr">
        <is>
          <t>remodel proyectos</t>
        </is>
      </c>
      <c r="G31" s="6" t="inlineStr">
        <is>
          <t>⚠ CRÍTICO: '4 duplicados por dirección' (la app lo avisa). ¿el sync duplica o pisa? confirmar</t>
        </is>
      </c>
      <c r="H31" s="7" t="inlineStr"/>
      <c r="I31" s="7" t="inlineStr"/>
      <c r="J31" s="7" t="inlineStr"/>
    </row>
    <row r="32" ht="22" customHeight="1">
      <c r="A32" s="4" t="inlineStr">
        <is>
          <t>E · SYNC / PARIDAD</t>
        </is>
      </c>
    </row>
    <row r="33" ht="30" customHeight="1">
      <c r="A33" s="5" t="n">
        <v>24</v>
      </c>
      <c r="B33" s="5" t="inlineStr">
        <is>
          <t>General</t>
        </is>
      </c>
      <c r="C33" s="5" t="inlineStr">
        <is>
          <t>Paridad Airtable</t>
        </is>
      </c>
      <c r="D33" s="5" t="inlineStr">
        <is>
          <t>OK · 27/27 obras activas</t>
        </is>
      </c>
      <c r="E33" s="5" t="inlineStr">
        <is>
          <t>verificación de paridad app↔Airtable</t>
        </is>
      </c>
      <c r="F33" s="5" t="inlineStr"/>
      <c r="G33" s="6" t="inlineStr">
        <is>
          <t>confirmar que 27 obras = realidad (vs 31 en remodel-pro)</t>
        </is>
      </c>
      <c r="H33" s="7" t="inlineStr"/>
      <c r="I33" s="7" t="inlineStr"/>
      <c r="J33" s="7" t="inlineStr"/>
    </row>
    <row r="34" ht="30" customHeight="1">
      <c r="A34" s="5" t="n">
        <v>25</v>
      </c>
      <c r="B34" s="5" t="inlineStr">
        <is>
          <t>General</t>
        </is>
      </c>
      <c r="C34" s="5" t="inlineStr">
        <is>
          <t>Último sync</t>
        </is>
      </c>
      <c r="D34" s="5" t="inlineStr">
        <is>
          <t>19/8/2026</t>
        </is>
      </c>
      <c r="E34" s="5" t="inlineStr">
        <is>
          <t>frescura del sync de Remodelación</t>
        </is>
      </c>
      <c r="F34" s="5" t="inlineStr"/>
      <c r="G34" s="6" t="inlineStr">
        <is>
          <t>confirmar que corre y trae todo</t>
        </is>
      </c>
      <c r="H34" s="7" t="inlineStr"/>
      <c r="I34" s="7" t="inlineStr"/>
      <c r="J34" s="7" t="inlineStr"/>
    </row>
  </sheetData>
  <mergeCells count="7">
    <mergeCell ref="A1:J1"/>
    <mergeCell ref="A5:J5"/>
    <mergeCell ref="A32:J32"/>
    <mergeCell ref="A2:J2"/>
    <mergeCell ref="A20:J20"/>
    <mergeCell ref="A26:J26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2026-08-19T20:03:11Z</dcterms:created>
  <dcterms:modified xmlns:dcterms="http://purl.org/dc/terms/" xmlns:xsi="http://www.w3.org/2001/XMLSchema-instance" xsi:type="dcterms:W3CDTF">2026-08-19T20:03:11Z</dcterms:modified>
</cp:coreProperties>
</file>