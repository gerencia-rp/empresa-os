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0" customWidth="1" min="4" max="4"/>
    <col width="34" customWidth="1" min="5" max="5"/>
    <col width="30" customWidth="1" min="6" max="6"/>
    <col width="30" customWidth="1" min="7" max="7"/>
    <col width="40" customWidth="1" min="8" max="8"/>
    <col width="16" customWidth="1" min="9" max="9"/>
    <col width="30" customWidth="1" min="10" max="10"/>
  </cols>
  <sheetData>
    <row r="1" ht="34" customHeight="1">
      <c r="A1" s="1" t="inlineStr">
        <is>
          <t>CUESTIONARIO DE FUENTES DE DATOS · Empresa OS (Fix &amp; Flip + Portal)  —  para que Juan confirme de dónde sale cada número en Airtable</t>
        </is>
      </c>
    </row>
    <row r="2" ht="42" customHeight="1">
      <c r="A2" s="2" t="inlineStr">
        <is>
          <t>Instrucciones para Juan: en las 3 columnas AMARILLAS, escribe (1) la RUTA exacta en Airtable de dónde sale el dato (base → tabla → columna/vista), o la fuente si es QBO/cálculo; (2) si la app lo muestra bien (Sí/No); (3) cualquier corrección. Objetivo: 'un dato, una fuente' — que la app lea del lugar correcto y esté al día.</t>
        </is>
      </c>
    </row>
    <row r="4">
      <c r="A4" s="3" t="inlineStr">
        <is>
          <t>#</t>
        </is>
      </c>
      <c r="B4" s="3" t="inlineStr">
        <is>
          <t>Sistema / Pantalla</t>
        </is>
      </c>
      <c r="C4" s="3" t="inlineStr">
        <is>
          <t>Número o campo (como aparece)</t>
        </is>
      </c>
      <c r="D4" s="3" t="inlineStr">
        <is>
          <t>Valor que muestra hoy</t>
        </is>
      </c>
      <c r="E4" s="3" t="inlineStr">
        <is>
          <t>Qué es / fórmula (lectura de Claude)</t>
        </is>
      </c>
      <c r="F4" s="3" t="inlineStr">
        <is>
          <t>Fuente que declara/usa la app hoy</t>
        </is>
      </c>
      <c r="G4" s="3" t="inlineStr">
        <is>
          <t>⚠ Hallazgo (revisar)</t>
        </is>
      </c>
      <c r="H4" s="3" t="inlineStr">
        <is>
          <t>RUTA CORRECTA EN AIRTABLE — JUAN LLENA (base → tabla → columna/vista)</t>
        </is>
      </c>
      <c r="I4" s="3" t="inlineStr">
        <is>
          <t>¿La app lo muestra bien? (Sí/No) — JUAN</t>
        </is>
      </c>
      <c r="J4" s="3" t="inlineStr">
        <is>
          <t>Corrección / nota — JUAN</t>
        </is>
      </c>
    </row>
    <row r="5" ht="22" customHeight="1">
      <c r="A5" s="4" t="inlineStr">
        <is>
          <t>1 · HOME / LANDING (empresa-os.vercel.app)</t>
        </is>
      </c>
    </row>
    <row r="6" ht="30" customHeight="1">
      <c r="A6" s="5" t="n">
        <v>1</v>
      </c>
      <c r="B6" s="5" t="inlineStr">
        <is>
          <t>Home</t>
        </is>
      </c>
      <c r="C6" s="5" t="inlineStr">
        <is>
          <t>Vista de inicio / lista de sistemas</t>
        </is>
      </c>
      <c r="D6" s="5" t="inlineStr">
        <is>
          <t>(vacía)</t>
        </is>
      </c>
      <c r="E6" s="5" t="inlineStr">
        <is>
          <t>Hub de acceso a los sistemas (Fix&amp;Flip, Rentas, Cobranza, Portal Inversor, Remodelación)</t>
        </is>
      </c>
      <c r="F6" s="5" t="inlineStr">
        <is>
          <t>—</t>
        </is>
      </c>
      <c r="G6" s="6" t="inlineStr">
        <is>
          <t>Vista vieja/desactualizada — Ajuste 01 (unificar diseño). ¿Qué debe listar?</t>
        </is>
      </c>
      <c r="H6" s="7" t="inlineStr"/>
      <c r="I6" s="7" t="inlineStr"/>
      <c r="J6" s="7" t="inlineStr"/>
    </row>
    <row r="7" ht="22" customHeight="1">
      <c r="A7" s="4" t="inlineStr">
        <is>
          <t>2 · COMMAND CENTER (Fix &amp; Flip)</t>
        </is>
      </c>
    </row>
    <row r="8" ht="30" customHeight="1">
      <c r="A8" s="5" t="n">
        <v>2</v>
      </c>
      <c r="B8" s="5" t="inlineStr">
        <is>
          <t>Command Center</t>
        </is>
      </c>
      <c r="C8" s="5" t="inlineStr">
        <is>
          <t>Equity del portafolio</t>
        </is>
      </c>
      <c r="D8" s="5" t="inlineStr">
        <is>
          <t>$4,435,350</t>
        </is>
      </c>
      <c r="E8" s="5" t="inlineStr">
        <is>
          <t>valor − deuda (valor en papel)</t>
        </is>
      </c>
      <c r="F8" s="5" t="inlineStr">
        <is>
          <t>Airtable FF (¿appraisal/ARV − all-in?)</t>
        </is>
      </c>
      <c r="G8" s="5" t="inlineStr"/>
      <c r="H8" s="7" t="inlineStr"/>
      <c r="I8" s="7" t="inlineStr"/>
      <c r="J8" s="7" t="inlineStr"/>
    </row>
    <row r="9" ht="30" customHeight="1">
      <c r="A9" s="5" t="n">
        <v>3</v>
      </c>
      <c r="B9" s="5" t="inlineStr">
        <is>
          <t>Command Center</t>
        </is>
      </c>
      <c r="C9" s="5" t="inlineStr">
        <is>
          <t>Deuda del portafolio</t>
        </is>
      </c>
      <c r="D9" s="5" t="inlineStr">
        <is>
          <t>$4,979,650</t>
        </is>
      </c>
      <c r="E9" s="5" t="inlineStr">
        <is>
          <t>refi o HML por casa</t>
        </is>
      </c>
      <c r="F9" s="5" t="inlineStr">
        <is>
          <t>Airtable FF · nota QBO $5,974,414 (Δ $994,764)</t>
        </is>
      </c>
      <c r="G9" s="6" t="inlineStr">
        <is>
          <t>¿Deuda sale de Airtable o de QBO? Difieren ~$994k</t>
        </is>
      </c>
      <c r="H9" s="7" t="inlineStr"/>
      <c r="I9" s="7" t="inlineStr"/>
      <c r="J9" s="7" t="inlineStr"/>
    </row>
    <row r="10" ht="30" customHeight="1">
      <c r="A10" s="5" t="n">
        <v>4</v>
      </c>
      <c r="B10" s="5" t="inlineStr">
        <is>
          <t>Command Center</t>
        </is>
      </c>
      <c r="C10" s="5" t="inlineStr">
        <is>
          <t>Rendimiento anual — operativo</t>
        </is>
      </c>
      <c r="D10" s="5" t="inlineStr">
        <is>
          <t>$179,289</t>
        </is>
      </c>
      <c r="E10" s="5" t="inlineStr">
        <is>
          <t>NOI del portafolio</t>
        </is>
      </c>
      <c r="F10" s="5" t="inlineStr">
        <is>
          <t>¿?</t>
        </is>
      </c>
      <c r="G10" s="5" t="inlineStr"/>
      <c r="H10" s="7" t="inlineStr"/>
      <c r="I10" s="7" t="inlineStr"/>
      <c r="J10" s="7" t="inlineStr"/>
    </row>
    <row r="11" ht="30" customHeight="1">
      <c r="A11" s="5" t="n">
        <v>5</v>
      </c>
      <c r="B11" s="5" t="inlineStr">
        <is>
          <t>Command Center</t>
        </is>
      </c>
      <c r="C11" s="5" t="inlineStr">
        <is>
          <t>Rendimiento anual — con deuda</t>
        </is>
      </c>
      <c r="D11" s="5" t="inlineStr">
        <is>
          <t>-$453,616</t>
        </is>
      </c>
      <c r="E11" s="5" t="inlineStr">
        <is>
          <t>NOI − servicio de deuda HML</t>
        </is>
      </c>
      <c r="F11" s="5" t="inlineStr">
        <is>
          <t>¿?</t>
        </is>
      </c>
      <c r="G11" s="6" t="inlineStr">
        <is>
          <t>yield -10.2% del equity</t>
        </is>
      </c>
      <c r="H11" s="7" t="inlineStr"/>
      <c r="I11" s="7" t="inlineStr"/>
      <c r="J11" s="7" t="inlineStr"/>
    </row>
    <row r="12" ht="30" customHeight="1">
      <c r="A12" s="5" t="n">
        <v>6</v>
      </c>
      <c r="B12" s="5" t="inlineStr">
        <is>
          <t>Command Center</t>
        </is>
      </c>
      <c r="C12" s="5" t="inlineStr">
        <is>
          <t>Déficit acumulado</t>
        </is>
      </c>
      <c r="D12" s="5" t="inlineStr">
        <is>
          <t>-$144,188</t>
        </is>
      </c>
      <c r="E12" s="5" t="inlineStr">
        <is>
          <t>fórmula CEO (draws − gastos − down payment)</t>
        </is>
      </c>
      <c r="F12" s="5" t="inlineStr">
        <is>
          <t>cálculo app (NO Airtable)</t>
        </is>
      </c>
      <c r="G12" s="6" t="inlineStr">
        <is>
          <t>INCONSISTENTE: Dashboard Ejecutivo muestra $297,690 con otra fuente. Ajuste 04</t>
        </is>
      </c>
      <c r="H12" s="7" t="inlineStr"/>
      <c r="I12" s="7" t="inlineStr"/>
      <c r="J12" s="7" t="inlineStr"/>
    </row>
    <row r="13" ht="30" customHeight="1">
      <c r="A13" s="5" t="n">
        <v>7</v>
      </c>
      <c r="B13" s="5" t="inlineStr">
        <is>
          <t>Command Center</t>
        </is>
      </c>
      <c r="C13" s="5" t="inlineStr">
        <is>
          <t>Casas hechas / entregadas / portafolio</t>
        </is>
      </c>
      <c r="D13" s="5" t="inlineStr">
        <is>
          <t>25 / 5 / 23</t>
        </is>
      </c>
      <c r="E13" s="5" t="inlineStr">
        <is>
          <t>conteos</t>
        </is>
      </c>
      <c r="F13" s="5" t="inlineStr">
        <is>
          <t>Airtable FF</t>
        </is>
      </c>
      <c r="G13" s="5" t="inlineStr"/>
      <c r="H13" s="7" t="inlineStr"/>
      <c r="I13" s="7" t="inlineStr"/>
      <c r="J13" s="7" t="inlineStr"/>
    </row>
    <row r="14" ht="30" customHeight="1">
      <c r="A14" s="5" t="n">
        <v>8</v>
      </c>
      <c r="B14" s="5" t="inlineStr">
        <is>
          <t>Command Center</t>
        </is>
      </c>
      <c r="C14" s="5" t="inlineStr">
        <is>
          <t>Pipeline · Déficit por casa</t>
        </is>
      </c>
      <c r="D14" s="5" t="inlineStr">
        <is>
          <t>-$37,964 (Capitol) …</t>
        </is>
      </c>
      <c r="E14" s="5" t="inlineStr">
        <is>
          <t>fórmula CEO</t>
        </is>
      </c>
      <c r="F14" s="5" t="inlineStr">
        <is>
          <t>cálculo app</t>
        </is>
      </c>
      <c r="G14" s="6" t="inlineStr">
        <is>
          <t>NO coincide con ff_deals.deficit_total (Capitol=0 en Airtable). Ajuste 04/05</t>
        </is>
      </c>
      <c r="H14" s="7" t="inlineStr"/>
      <c r="I14" s="7" t="inlineStr"/>
      <c r="J14" s="7" t="inlineStr"/>
    </row>
    <row r="15" ht="22" customHeight="1">
      <c r="A15" s="4" t="inlineStr">
        <is>
          <t>3 · DASHBOARD EJECUTIVO (Fix &amp; Flip)  [la app YA declara fuente — Juan confirma la ruta]</t>
        </is>
      </c>
    </row>
    <row r="16" ht="30" customHeight="1">
      <c r="A16" s="5" t="n">
        <v>9</v>
      </c>
      <c r="B16" s="5" t="inlineStr">
        <is>
          <t>Dashboard Ejec.</t>
        </is>
      </c>
      <c r="C16" s="5" t="inlineStr">
        <is>
          <t>TIR del portafolio</t>
        </is>
      </c>
      <c r="D16" s="5" t="inlineStr">
        <is>
          <t>63.6%</t>
        </is>
      </c>
      <c r="E16" s="5" t="inlineStr">
        <is>
          <t>XIRR all-in, 27 casas al corte</t>
        </is>
      </c>
      <c r="F16" s="5" t="inlineStr">
        <is>
          <t>inv_indicadores_data + invInd (XIRR all-in)</t>
        </is>
      </c>
      <c r="G16" s="5" t="inlineStr"/>
      <c r="H16" s="7" t="inlineStr"/>
      <c r="I16" s="7" t="inlineStr"/>
      <c r="J16" s="7" t="inlineStr"/>
    </row>
    <row r="17" ht="30" customHeight="1">
      <c r="A17" s="5" t="n">
        <v>10</v>
      </c>
      <c r="B17" s="5" t="inlineStr">
        <is>
          <t>Dashboard Ejec.</t>
        </is>
      </c>
      <c r="C17" s="5" t="inlineStr">
        <is>
          <t>Múltiplo equity</t>
        </is>
      </c>
      <c r="D17" s="5" t="inlineStr">
        <is>
          <t>2.45x</t>
        </is>
      </c>
      <c r="E17" s="5" t="inlineStr">
        <is>
          <t>múltiplo del equity</t>
        </is>
      </c>
      <c r="F17" s="5" t="inlineStr">
        <is>
          <t>definición Excel (deuda faltante=0)</t>
        </is>
      </c>
      <c r="G17" s="6" t="inlineStr">
        <is>
          <t>7 casas con deuda por completar (sesgo)</t>
        </is>
      </c>
      <c r="H17" s="7" t="inlineStr"/>
      <c r="I17" s="7" t="inlineStr"/>
      <c r="J17" s="7" t="inlineStr"/>
    </row>
    <row r="18" ht="30" customHeight="1">
      <c r="A18" s="5" t="n">
        <v>11</v>
      </c>
      <c r="B18" s="5" t="inlineStr">
        <is>
          <t>Dashboard Ejec.</t>
        </is>
      </c>
      <c r="C18" s="5" t="inlineStr">
        <is>
          <t>Capital vs equity · LTV</t>
        </is>
      </c>
      <c r="D18" s="5" t="inlineStr">
        <is>
          <t>62.4%</t>
        </is>
      </c>
      <c r="E18" s="5" t="inlineStr">
        <is>
          <t>Σ deuda ÷ Σ papel (casas con deuda)</t>
        </is>
      </c>
      <c r="F18" s="5" t="inlineStr">
        <is>
          <t>cálculo app</t>
        </is>
      </c>
      <c r="G18" s="5" t="inlineStr"/>
      <c r="H18" s="7" t="inlineStr"/>
      <c r="I18" s="7" t="inlineStr"/>
      <c r="J18" s="7" t="inlineStr"/>
    </row>
    <row r="19" ht="30" customHeight="1">
      <c r="A19" s="5" t="n">
        <v>12</v>
      </c>
      <c r="B19" s="5" t="inlineStr">
        <is>
          <t>Dashboard Ejec.</t>
        </is>
      </c>
      <c r="C19" s="5" t="inlineStr">
        <is>
          <t>Ciclo compra→refi/venta</t>
        </is>
      </c>
      <c r="D19" s="5" t="inlineStr">
        <is>
          <t>296 días</t>
        </is>
      </c>
      <c r="E19" s="5" t="inlineStr">
        <is>
          <t>close_date → fecha_refi/venta</t>
        </is>
      </c>
      <c r="F19" s="5" t="inlineStr">
        <is>
          <t>close_date → fecha_refi/venta (Airtable)</t>
        </is>
      </c>
      <c r="G19" s="5" t="inlineStr"/>
      <c r="H19" s="7" t="inlineStr"/>
      <c r="I19" s="7" t="inlineStr"/>
      <c r="J19" s="7" t="inlineStr"/>
    </row>
    <row r="20" ht="30" customHeight="1">
      <c r="A20" s="5" t="n">
        <v>13</v>
      </c>
      <c r="B20" s="5" t="inlineStr">
        <is>
          <t>Dashboard Ejec.</t>
        </is>
      </c>
      <c r="C20" s="5" t="inlineStr">
        <is>
          <t>Déficit acumulado</t>
        </is>
      </c>
      <c r="D20" s="5" t="inlineStr">
        <is>
          <t>$297,690</t>
        </is>
      </c>
      <c r="E20" s="5" t="inlineStr">
        <is>
          <t>Σ ff_deals.deficit_total</t>
        </is>
      </c>
      <c r="F20" s="5" t="inlineStr">
        <is>
          <t>Σ ff_deals.deficit_total (Airtable FF)</t>
        </is>
      </c>
      <c r="G20" s="6" t="inlineStr">
        <is>
          <t>≠ Command Center (-$144,188). Mismo concepto, 2 números. Ajuste 04</t>
        </is>
      </c>
      <c r="H20" s="7" t="inlineStr"/>
      <c r="I20" s="7" t="inlineStr"/>
      <c r="J20" s="7" t="inlineStr"/>
    </row>
    <row r="21" ht="30" customHeight="1">
      <c r="A21" s="5" t="n">
        <v>14</v>
      </c>
      <c r="B21" s="5" t="inlineStr">
        <is>
          <t>Dashboard Ejec.</t>
        </is>
      </c>
      <c r="C21" s="5" t="inlineStr">
        <is>
          <t>Capital desplegado acum.</t>
        </is>
      </c>
      <c r="D21" s="5" t="inlineStr">
        <is>
          <t>$7,678,348</t>
        </is>
      </c>
      <c r="E21" s="5" t="inlineStr">
        <is>
          <t>Σ inversión desplegada</t>
        </is>
      </c>
      <c r="F21" s="5" t="inlineStr">
        <is>
          <t>¿?</t>
        </is>
      </c>
      <c r="G21" s="5" t="inlineStr"/>
      <c r="H21" s="7" t="inlineStr"/>
      <c r="I21" s="7" t="inlineStr"/>
      <c r="J21" s="7" t="inlineStr"/>
    </row>
    <row r="22" ht="30" customHeight="1">
      <c r="A22" s="5" t="n">
        <v>15</v>
      </c>
      <c r="B22" s="5" t="inlineStr">
        <is>
          <t>Dashboard Ejec.</t>
        </is>
      </c>
      <c r="C22" s="5" t="inlineStr">
        <is>
          <t>Unit economics · ALL-IN por casa</t>
        </is>
      </c>
      <c r="D22" s="5" t="inlineStr">
        <is>
          <t>$285,000 (Capitol)</t>
        </is>
      </c>
      <c r="E22" s="5" t="inlineStr">
        <is>
          <t>compra + draws</t>
        </is>
      </c>
      <c r="F22" s="5" t="inlineStr">
        <is>
          <t>Airtable FF (¿draws o remodel_real?)</t>
        </is>
      </c>
      <c r="G22" s="6" t="inlineStr">
        <is>
          <t>Ajuste 05: faltan draws con rehab ya cargado</t>
        </is>
      </c>
      <c r="H22" s="7" t="inlineStr"/>
      <c r="I22" s="7" t="inlineStr"/>
      <c r="J22" s="7" t="inlineStr"/>
    </row>
    <row r="23" ht="30" customHeight="1">
      <c r="A23" s="5" t="n">
        <v>16</v>
      </c>
      <c r="B23" s="5" t="inlineStr">
        <is>
          <t>Dashboard Ejec.</t>
        </is>
      </c>
      <c r="C23" s="5" t="inlineStr">
        <is>
          <t>Unit economics · PAPEL / FUENTE</t>
        </is>
      </c>
      <c r="D23" s="5" t="inlineStr">
        <is>
          <t>$500,000 · appraisal</t>
        </is>
      </c>
      <c r="E23" s="5" t="inlineStr">
        <is>
          <t>valor en papel</t>
        </is>
      </c>
      <c r="F23" s="5" t="inlineStr">
        <is>
          <t>appraisal / ARV / ARV proxy (declarado por casa)</t>
        </is>
      </c>
      <c r="G23" s="5" t="inlineStr"/>
      <c r="H23" s="7" t="inlineStr"/>
      <c r="I23" s="7" t="inlineStr"/>
      <c r="J23" s="7" t="inlineStr"/>
    </row>
    <row r="24" ht="30" customHeight="1">
      <c r="A24" s="5" t="n">
        <v>17</v>
      </c>
      <c r="B24" s="5" t="inlineStr">
        <is>
          <t>Dashboard Ejec.</t>
        </is>
      </c>
      <c r="C24" s="5" t="inlineStr">
        <is>
          <t>Equity hoy / Deuda / Vence HML</t>
        </is>
      </c>
      <c r="D24" s="5" t="inlineStr">
        <is>
          <t>$266,250 / $233,750 / 2026-01-01</t>
        </is>
      </c>
      <c r="E24" s="5" t="inlineStr">
        <is>
          <t>por casa</t>
        </is>
      </c>
      <c r="F24" s="5" t="inlineStr">
        <is>
          <t>Airtable FF / ff_hml_loans</t>
        </is>
      </c>
      <c r="G24" s="5" t="inlineStr"/>
      <c r="H24" s="7" t="inlineStr"/>
      <c r="I24" s="7" t="inlineStr"/>
      <c r="J24" s="7" t="inlineStr"/>
    </row>
    <row r="25" ht="22" customHeight="1">
      <c r="A25" s="4" t="inlineStr">
        <is>
          <t>4 · DEALS &amp; PIPELINE (Kanban)</t>
        </is>
      </c>
    </row>
    <row r="26" ht="30" customHeight="1">
      <c r="A26" s="5" t="n">
        <v>18</v>
      </c>
      <c r="B26" s="5" t="inlineStr">
        <is>
          <t>Deals &amp; Pipeline</t>
        </is>
      </c>
      <c r="C26" s="5" t="inlineStr">
        <is>
          <t>Etapas (Lead/Bajo contrato/Comprada/Remodelación/Renta-venta/Salida)</t>
        </is>
      </c>
      <c r="D26" s="5" t="inlineStr">
        <is>
          <t>0/0/3/4/15/6</t>
        </is>
      </c>
      <c r="E26" s="5" t="inlineStr">
        <is>
          <t>estado del deal</t>
        </is>
      </c>
      <c r="F26" s="5" t="inlineStr">
        <is>
          <t>Airtable FF (¿columna etapa?)</t>
        </is>
      </c>
      <c r="G26" s="6" t="inlineStr">
        <is>
          <t>Ajuste 02: ocultar columnas vacías</t>
        </is>
      </c>
      <c r="H26" s="7" t="inlineStr"/>
      <c r="I26" s="7" t="inlineStr"/>
      <c r="J26" s="7" t="inlineStr"/>
    </row>
    <row r="27" ht="30" customHeight="1">
      <c r="A27" s="5" t="n">
        <v>19</v>
      </c>
      <c r="B27" s="5" t="inlineStr">
        <is>
          <t>Deals &amp; Pipeline</t>
        </is>
      </c>
      <c r="C27" s="5" t="inlineStr">
        <is>
          <t>All-in / ARV / Margen / Déficit por casa</t>
        </is>
      </c>
      <c r="D27" s="5" t="inlineStr">
        <is>
          <t>varía</t>
        </is>
      </c>
      <c r="E27" s="5" t="inlineStr">
        <is>
          <t>compra+draws / ARV / ARV−all-in / déficit</t>
        </is>
      </c>
      <c r="F27" s="5" t="inlineStr">
        <is>
          <t>Airtable FF + cálculo</t>
        </is>
      </c>
      <c r="G27" s="6" t="inlineStr">
        <is>
          <t>Déficit recalculado (Ajuste 04)</t>
        </is>
      </c>
      <c r="H27" s="7" t="inlineStr"/>
      <c r="I27" s="7" t="inlineStr"/>
      <c r="J27" s="7" t="inlineStr"/>
    </row>
    <row r="28" ht="30" customHeight="1">
      <c r="A28" s="5" t="n">
        <v>20</v>
      </c>
      <c r="B28" s="5" t="inlineStr">
        <is>
          <t>Deals &amp; Pipeline</t>
        </is>
      </c>
      <c r="C28" s="5" t="inlineStr">
        <is>
          <t>Estrategia (Fix and hold / flip)</t>
        </is>
      </c>
      <c r="D28" s="5" t="inlineStr">
        <is>
          <t>Fix and hold</t>
        </is>
      </c>
      <c r="E28" s="5" t="inlineStr">
        <is>
          <t>estrategia del deal</t>
        </is>
      </c>
      <c r="F28" s="5" t="inlineStr">
        <is>
          <t>Airtable FF (¿columna estrategia?)</t>
        </is>
      </c>
      <c r="G28" s="5" t="inlineStr"/>
      <c r="H28" s="7" t="inlineStr"/>
      <c r="I28" s="7" t="inlineStr"/>
      <c r="J28" s="7" t="inlineStr"/>
    </row>
    <row r="29" ht="30" customHeight="1">
      <c r="A29" s="5" t="n">
        <v>21</v>
      </c>
      <c r="B29" s="5" t="inlineStr">
        <is>
          <t>Deals &amp; Pipeline</t>
        </is>
      </c>
      <c r="C29" s="5" t="inlineStr">
        <is>
          <t>Semáforo (Sano / Déficit / All-in alto)</t>
        </is>
      </c>
      <c r="D29" s="5" t="inlineStr">
        <is>
          <t>tag</t>
        </is>
      </c>
      <c r="E29" s="5" t="inlineStr">
        <is>
          <t>umbrales ff_uw_config</t>
        </is>
      </c>
      <c r="F29" s="5" t="inlineStr">
        <is>
          <t>cálculo app</t>
        </is>
      </c>
      <c r="G29" s="6" t="inlineStr">
        <is>
          <t>Ajuste 05: color debe seguir estado real</t>
        </is>
      </c>
      <c r="H29" s="7" t="inlineStr"/>
      <c r="I29" s="7" t="inlineStr"/>
      <c r="J29" s="7" t="inlineStr"/>
    </row>
    <row r="30" ht="30" customHeight="1">
      <c r="A30" s="5" t="n">
        <v>22</v>
      </c>
      <c r="B30" s="5" t="inlineStr">
        <is>
          <t>Deals &amp; Pipeline</t>
        </is>
      </c>
      <c r="C30" s="5" t="inlineStr">
        <is>
          <t>HML VENCIDO Xd / presup +13%</t>
        </is>
      </c>
      <c r="D30" s="5" t="inlineStr">
        <is>
          <t>188d / +13%</t>
        </is>
      </c>
      <c r="E30" s="5" t="inlineStr">
        <is>
          <t>alertas</t>
        </is>
      </c>
      <c r="F30" s="5" t="inlineStr">
        <is>
          <t>ff_hml_loans / presupuesto</t>
        </is>
      </c>
      <c r="G30" s="5" t="inlineStr"/>
      <c r="H30" s="7" t="inlineStr"/>
      <c r="I30" s="7" t="inlineStr"/>
      <c r="J30" s="7" t="inlineStr"/>
    </row>
    <row r="31" ht="22" customHeight="1">
      <c r="A31" s="4" t="inlineStr">
        <is>
          <t>5 · PROPIEDADES (lista)</t>
        </is>
      </c>
    </row>
    <row r="32" ht="30" customHeight="1">
      <c r="A32" s="5" t="n">
        <v>23</v>
      </c>
      <c r="B32" s="5" t="inlineStr">
        <is>
          <t>Propiedades</t>
        </is>
      </c>
      <c r="C32" s="5" t="inlineStr">
        <is>
          <t>Dirección / Etapa / Estrategia</t>
        </is>
      </c>
      <c r="D32" s="5" t="inlineStr">
        <is>
          <t>Rentada / Rentada y Refi / Adquirida</t>
        </is>
      </c>
      <c r="E32" s="5" t="inlineStr">
        <is>
          <t>estado</t>
        </is>
      </c>
      <c r="F32" s="5" t="inlineStr">
        <is>
          <t>Airtable FF</t>
        </is>
      </c>
      <c r="G32" s="5" t="inlineStr"/>
      <c r="H32" s="7" t="inlineStr"/>
      <c r="I32" s="7" t="inlineStr"/>
      <c r="J32" s="7" t="inlineStr"/>
    </row>
    <row r="33" ht="30" customHeight="1">
      <c r="A33" s="5" t="n">
        <v>24</v>
      </c>
      <c r="B33" s="5" t="inlineStr">
        <is>
          <t>Propiedades</t>
        </is>
      </c>
      <c r="C33" s="5" t="inlineStr">
        <is>
          <t>All-in / ARV / Margen / Déficit / Estado</t>
        </is>
      </c>
      <c r="D33" s="5" t="inlineStr">
        <is>
          <t>varía</t>
        </is>
      </c>
      <c r="E33" s="5">
        <f> pipeline</f>
        <v/>
      </c>
      <c r="F33" s="5" t="inlineStr">
        <is>
          <t>Airtable FF + cálculo</t>
        </is>
      </c>
      <c r="G33" s="6" t="inlineStr">
        <is>
          <t>'4 sin draws cargados en Airtable' — cargar o usar remodel_real</t>
        </is>
      </c>
      <c r="H33" s="7" t="inlineStr"/>
      <c r="I33" s="7" t="inlineStr"/>
      <c r="J33" s="7" t="inlineStr"/>
    </row>
    <row r="34" ht="30" customHeight="1">
      <c r="A34" s="5" t="n">
        <v>25</v>
      </c>
      <c r="B34" s="5" t="inlineStr">
        <is>
          <t>Propiedades</t>
        </is>
      </c>
      <c r="C34" s="5" t="inlineStr">
        <is>
          <t>Tags operador / vendida</t>
        </is>
      </c>
      <c r="D34" s="5" t="inlineStr">
        <is>
          <t>5 etiquetadas</t>
        </is>
      </c>
      <c r="E34" s="5" t="inlineStr">
        <is>
          <t>no cuentan en totales</t>
        </is>
      </c>
      <c r="F34" s="5" t="inlineStr">
        <is>
          <t>Airtable FF</t>
        </is>
      </c>
      <c r="G34" s="5" t="inlineStr"/>
      <c r="H34" s="7" t="inlineStr"/>
      <c r="I34" s="7" t="inlineStr"/>
      <c r="J34" s="7" t="inlineStr"/>
    </row>
    <row r="35" ht="22" customHeight="1">
      <c r="A35" s="4" t="inlineStr">
        <is>
          <t>6 · FICHA DE CASA (ej. 3403 Charles Street)</t>
        </is>
      </c>
    </row>
    <row r="36" ht="30" customHeight="1">
      <c r="A36" s="5" t="n">
        <v>26</v>
      </c>
      <c r="B36" s="5" t="inlineStr">
        <is>
          <t>Ficha de casa</t>
        </is>
      </c>
      <c r="C36" s="5" t="inlineStr">
        <is>
          <t>Etapa actual</t>
        </is>
      </c>
      <c r="D36" s="5" t="inlineStr">
        <is>
          <t>Adquirida · HOLD Fix &amp; Flip</t>
        </is>
      </c>
      <c r="E36" s="5" t="inlineStr">
        <is>
          <t>estado del ciclo</t>
        </is>
      </c>
      <c r="F36" s="5" t="inlineStr">
        <is>
          <t>Airtable FF</t>
        </is>
      </c>
      <c r="G36" s="5" t="inlineStr"/>
      <c r="H36" s="7" t="inlineStr"/>
      <c r="I36" s="7" t="inlineStr"/>
      <c r="J36" s="7" t="inlineStr"/>
    </row>
    <row r="37" ht="30" customHeight="1">
      <c r="A37" s="5" t="n">
        <v>27</v>
      </c>
      <c r="B37" s="5" t="inlineStr">
        <is>
          <t>Ficha de casa</t>
        </is>
      </c>
      <c r="C37" s="5" t="inlineStr">
        <is>
          <t>All-in (compra + draws)</t>
        </is>
      </c>
      <c r="D37" s="5" t="inlineStr">
        <is>
          <t>$357,000</t>
        </is>
      </c>
      <c r="E37" s="5" t="inlineStr">
        <is>
          <t>compra $247k + rehab real $110k</t>
        </is>
      </c>
      <c r="F37" s="5" t="inlineStr">
        <is>
          <t>Airtable FF</t>
        </is>
      </c>
      <c r="G37" s="6" t="inlineStr">
        <is>
          <t>dice 'faltan draws' aunque rehab real sí está</t>
        </is>
      </c>
      <c r="H37" s="7" t="inlineStr"/>
      <c r="I37" s="7" t="inlineStr"/>
      <c r="J37" s="7" t="inlineStr"/>
    </row>
    <row r="38" ht="30" customHeight="1">
      <c r="A38" s="5" t="n">
        <v>28</v>
      </c>
      <c r="B38" s="5" t="inlineStr">
        <is>
          <t>Ficha de casa</t>
        </is>
      </c>
      <c r="C38" s="5" t="inlineStr">
        <is>
          <t>ARV / Appraisal</t>
        </is>
      </c>
      <c r="D38" s="5" t="inlineStr">
        <is>
          <t>$495,000 / —</t>
        </is>
      </c>
      <c r="E38" s="5" t="inlineStr">
        <is>
          <t>valor remodelado / avalúo</t>
        </is>
      </c>
      <c r="F38" s="5" t="inlineStr">
        <is>
          <t>Airtable FF</t>
        </is>
      </c>
      <c r="G38" s="5" t="inlineStr"/>
      <c r="H38" s="7" t="inlineStr"/>
      <c r="I38" s="7" t="inlineStr"/>
      <c r="J38" s="7" t="inlineStr"/>
    </row>
    <row r="39" ht="30" customHeight="1">
      <c r="A39" s="5" t="n">
        <v>29</v>
      </c>
      <c r="B39" s="5" t="inlineStr">
        <is>
          <t>Ficha de casa</t>
        </is>
      </c>
      <c r="C39" s="5" t="inlineStr">
        <is>
          <t>Equity incorporado</t>
        </is>
      </c>
      <c r="D39" s="5" t="inlineStr">
        <is>
          <t>$138,000</t>
        </is>
      </c>
      <c r="E39" s="5" t="inlineStr">
        <is>
          <t>ARV − all-in</t>
        </is>
      </c>
      <c r="F39" s="5" t="inlineStr">
        <is>
          <t>cálculo</t>
        </is>
      </c>
      <c r="G39" s="6" t="inlineStr">
        <is>
          <t>'con datos incompletos'</t>
        </is>
      </c>
      <c r="H39" s="7" t="inlineStr"/>
      <c r="I39" s="7" t="inlineStr"/>
      <c r="J39" s="7" t="inlineStr"/>
    </row>
    <row r="40" ht="30" customHeight="1">
      <c r="A40" s="5" t="n">
        <v>30</v>
      </c>
      <c r="B40" s="5" t="inlineStr">
        <is>
          <t>Ficha de casa</t>
        </is>
      </c>
      <c r="C40" s="5" t="inlineStr">
        <is>
          <t>MAO (ARV×75% − costos)</t>
        </is>
      </c>
      <c r="D40" s="5" t="inlineStr">
        <is>
          <t>$261,250</t>
        </is>
      </c>
      <c r="E40" s="5" t="inlineStr">
        <is>
          <t>máximo a ofertar</t>
        </is>
      </c>
      <c r="F40" s="5" t="inlineStr">
        <is>
          <t>cálculo / ff_uw_config</t>
        </is>
      </c>
      <c r="G40" s="5" t="inlineStr"/>
      <c r="H40" s="7" t="inlineStr"/>
      <c r="I40" s="7" t="inlineStr"/>
      <c r="J40" s="7" t="inlineStr"/>
    </row>
    <row r="41" ht="30" customHeight="1">
      <c r="A41" s="5" t="n">
        <v>31</v>
      </c>
      <c r="B41" s="5" t="inlineStr">
        <is>
          <t>Ficha de casa</t>
        </is>
      </c>
      <c r="C41" s="5" t="inlineStr">
        <is>
          <t>Cash-out / HML (pago)</t>
        </is>
      </c>
      <c r="D41" s="5" t="inlineStr">
        <is>
          <t>— / —</t>
        </is>
      </c>
      <c r="E41" s="5" t="inlineStr">
        <is>
          <t>refi</t>
        </is>
      </c>
      <c r="F41" s="5" t="inlineStr">
        <is>
          <t>ff_hml_loans / ff_hml_payments</t>
        </is>
      </c>
      <c r="G41" s="5" t="inlineStr"/>
      <c r="H41" s="7" t="inlineStr"/>
      <c r="I41" s="7" t="inlineStr"/>
      <c r="J41" s="7" t="inlineStr"/>
    </row>
    <row r="42" ht="30" customHeight="1">
      <c r="A42" s="5" t="n">
        <v>32</v>
      </c>
      <c r="B42" s="5" t="inlineStr">
        <is>
          <t>Ficha de casa</t>
        </is>
      </c>
      <c r="C42" s="5" t="inlineStr">
        <is>
          <t>Ficha de obra · Líder</t>
        </is>
      </c>
      <c r="D42" s="5" t="inlineStr">
        <is>
          <t>recF0K8ERJoI5JGS5</t>
        </is>
      </c>
      <c r="E42" s="5" t="inlineStr">
        <is>
          <t>nombre del líder de obra</t>
        </is>
      </c>
      <c r="F42" s="5" t="inlineStr">
        <is>
          <t>Airtable (linked record)</t>
        </is>
      </c>
      <c r="G42" s="6" t="inlineStr">
        <is>
          <t>MUESTRA EL rec ID, no el nombre. Ajuste 03</t>
        </is>
      </c>
      <c r="H42" s="7" t="inlineStr"/>
      <c r="I42" s="7" t="inlineStr"/>
      <c r="J42" s="7" t="inlineStr"/>
    </row>
    <row r="43" ht="30" customHeight="1">
      <c r="A43" s="5" t="n">
        <v>33</v>
      </c>
      <c r="B43" s="5" t="inlineStr">
        <is>
          <t>Ficha de casa</t>
        </is>
      </c>
      <c r="C43" s="5" t="inlineStr">
        <is>
          <t>Obra · Material/Trabajadores/Presupuesto/Utilidad</t>
        </is>
      </c>
      <c r="D43" s="5" t="inlineStr">
        <is>
          <t>est→real / 129% / $0</t>
        </is>
      </c>
      <c r="E43" s="5" t="inlineStr">
        <is>
          <t>seguimiento de obra</t>
        </is>
      </c>
      <c r="F43" s="5" t="inlineStr">
        <is>
          <t>Airtable Remodelación (¿tabla?)</t>
        </is>
      </c>
      <c r="G43" s="6" t="inlineStr">
        <is>
          <t>¿de qué tabla/base sale la obra?</t>
        </is>
      </c>
      <c r="H43" s="7" t="inlineStr"/>
      <c r="I43" s="7" t="inlineStr"/>
      <c r="J43" s="7" t="inlineStr"/>
    </row>
    <row r="44" ht="30" customHeight="1">
      <c r="A44" s="5" t="n">
        <v>34</v>
      </c>
      <c r="B44" s="5" t="inlineStr">
        <is>
          <t>Ficha de casa</t>
        </is>
      </c>
      <c r="C44" s="5" t="inlineStr">
        <is>
          <t>Foto de la casa</t>
        </is>
      </c>
      <c r="D44" s="5" t="inlineStr">
        <is>
          <t>(no hay)</t>
        </is>
      </c>
      <c r="E44" s="5" t="inlineStr">
        <is>
          <t>imagen del inmueble</t>
        </is>
      </c>
      <c r="F44" s="5" t="inlineStr">
        <is>
          <t>¿Airtable adjunto?</t>
        </is>
      </c>
      <c r="G44" s="6" t="inlineStr">
        <is>
          <t>Ajuste 06: mostrar foto en la ficha 360°</t>
        </is>
      </c>
      <c r="H44" s="7" t="inlineStr"/>
      <c r="I44" s="7" t="inlineStr"/>
      <c r="J44" s="7" t="inlineStr"/>
    </row>
    <row r="45" ht="22" customHeight="1">
      <c r="A45" s="4" t="inlineStr">
        <is>
          <t>7 · FINANZAS · QUICKBOOKS + COCKPIT</t>
        </is>
      </c>
    </row>
    <row r="46" ht="30" customHeight="1">
      <c r="A46" s="5" t="n">
        <v>35</v>
      </c>
      <c r="B46" s="5" t="inlineStr">
        <is>
          <t>Finanzas/QBO</t>
        </is>
      </c>
      <c r="C46" s="5" t="inlineStr">
        <is>
          <t>Invertido</t>
        </is>
      </c>
      <c r="D46" s="5" t="inlineStr">
        <is>
          <t>$8,225,310</t>
        </is>
      </c>
      <c r="E46" s="5" t="inlineStr">
        <is>
          <t>capital desplegado</t>
        </is>
      </c>
      <c r="F46" s="5" t="inlineStr">
        <is>
          <t>¿Airtable o QBO?</t>
        </is>
      </c>
      <c r="G46" s="5" t="inlineStr"/>
      <c r="H46" s="7" t="inlineStr"/>
      <c r="I46" s="7" t="inlineStr"/>
      <c r="J46" s="7" t="inlineStr"/>
    </row>
    <row r="47" ht="30" customHeight="1">
      <c r="A47" s="5" t="n">
        <v>36</v>
      </c>
      <c r="B47" s="5" t="inlineStr">
        <is>
          <t>Finanzas/QBO</t>
        </is>
      </c>
      <c r="C47" s="5" t="inlineStr">
        <is>
          <t>Equity</t>
        </is>
      </c>
      <c r="D47" s="5" t="inlineStr">
        <is>
          <t>$3,055,690</t>
        </is>
      </c>
      <c r="E47" s="5" t="inlineStr">
        <is>
          <t>ARV − all-in confiables</t>
        </is>
      </c>
      <c r="F47" s="5" t="inlineStr">
        <is>
          <t>cálculo app</t>
        </is>
      </c>
      <c r="G47" s="5" t="inlineStr"/>
      <c r="H47" s="7" t="inlineStr"/>
      <c r="I47" s="7" t="inlineStr"/>
      <c r="J47" s="7" t="inlineStr"/>
    </row>
    <row r="48" ht="30" customHeight="1">
      <c r="A48" s="5" t="n">
        <v>37</v>
      </c>
      <c r="B48" s="5" t="inlineStr">
        <is>
          <t>Finanzas/QBO</t>
        </is>
      </c>
      <c r="C48" s="5" t="inlineStr">
        <is>
          <t>Interés HML / Ingreso</t>
        </is>
      </c>
      <c r="D48" s="5" t="inlineStr">
        <is>
          <t>96%</t>
        </is>
      </c>
      <c r="E48" s="5" t="inlineStr">
        <is>
          <t>interés YTD ÷ ingreso YTD</t>
        </is>
      </c>
      <c r="F48" s="5" t="inlineStr">
        <is>
          <t>$208,630 interés / $216,351 ingreso [QBO]</t>
        </is>
      </c>
      <c r="G48" s="6" t="inlineStr">
        <is>
          <t>¿ingreso QBO de $216k es TODO el ingreso? Parece bajo vs rentas. Cruzar con P&amp;L QBO</t>
        </is>
      </c>
      <c r="H48" s="7" t="inlineStr"/>
      <c r="I48" s="7" t="inlineStr"/>
      <c r="J48" s="7" t="inlineStr"/>
    </row>
    <row r="49" ht="30" customHeight="1">
      <c r="A49" s="5" t="n">
        <v>38</v>
      </c>
      <c r="B49" s="5" t="inlineStr">
        <is>
          <t>Finanzas/QBO</t>
        </is>
      </c>
      <c r="C49" s="5" t="inlineStr">
        <is>
          <t>ICR — cobertura del interés</t>
        </is>
      </c>
      <c r="D49" s="5" t="inlineStr">
        <is>
          <t>0.19x</t>
        </is>
      </c>
      <c r="E49" s="5" t="inlineStr">
        <is>
          <t>(ingreso − gastos) ÷ interés YTD</t>
        </is>
      </c>
      <c r="F49" s="5" t="inlineStr">
        <is>
          <t>QBO</t>
        </is>
      </c>
      <c r="G49" s="6" t="inlineStr">
        <is>
          <t>&lt;1x alarma — depende del ingreso QBO correcto</t>
        </is>
      </c>
      <c r="H49" s="7" t="inlineStr"/>
      <c r="I49" s="7" t="inlineStr"/>
      <c r="J49" s="7" t="inlineStr"/>
    </row>
    <row r="50" ht="30" customHeight="1">
      <c r="A50" s="5" t="n">
        <v>39</v>
      </c>
      <c r="B50" s="5" t="inlineStr">
        <is>
          <t>Finanzas/QBO</t>
        </is>
      </c>
      <c r="C50" s="5" t="inlineStr">
        <is>
          <t>Equity potencial del portafolio</t>
        </is>
      </c>
      <c r="D50" s="5" t="inlineStr">
        <is>
          <t>$3,055,690</t>
        </is>
      </c>
      <c r="E50" s="5" t="inlineStr">
        <is>
          <t>Σ ARV − all-in</t>
        </is>
      </c>
      <c r="F50" s="5" t="inlineStr">
        <is>
          <t>cálculo app (28/28 confiables)</t>
        </is>
      </c>
      <c r="G50" s="5" t="inlineStr"/>
      <c r="H50" s="7" t="inlineStr"/>
      <c r="I50" s="7" t="inlineStr"/>
      <c r="J50" s="7" t="inlineStr"/>
    </row>
    <row r="51" ht="30" customHeight="1">
      <c r="A51" s="5" t="n">
        <v>40</v>
      </c>
      <c r="B51" s="5" t="inlineStr">
        <is>
          <t>Finanzas/QBO</t>
        </is>
      </c>
      <c r="C51" s="5" t="inlineStr">
        <is>
          <t>Equity incorporado del holding</t>
        </is>
      </c>
      <c r="D51" s="5" t="inlineStr">
        <is>
          <t>$3,315,652</t>
        </is>
      </c>
      <c r="E51" s="5" t="inlineStr">
        <is>
          <t>Σ ARV − all-in (casas con obra)</t>
        </is>
      </c>
      <c r="F51" s="5" t="inlineStr">
        <is>
          <t>cálculo app</t>
        </is>
      </c>
      <c r="G51" s="6" t="inlineStr">
        <is>
          <t>≠ equity potencial ($3,055,690). ¿por qué difieren?</t>
        </is>
      </c>
      <c r="H51" s="7" t="inlineStr"/>
      <c r="I51" s="7" t="inlineStr"/>
      <c r="J51" s="7" t="inlineStr"/>
    </row>
    <row r="52" ht="30" customHeight="1">
      <c r="A52" s="5" t="n">
        <v>41</v>
      </c>
      <c r="B52" s="5" t="inlineStr">
        <is>
          <t>Finanzas/QBO</t>
        </is>
      </c>
      <c r="C52" s="5" t="inlineStr">
        <is>
          <t>Deuda QBO</t>
        </is>
      </c>
      <c r="D52" s="5" t="inlineStr">
        <is>
          <t>$5,974,414</t>
        </is>
      </c>
      <c r="E52" s="5" t="inlineStr">
        <is>
          <t>pasivo en QBO</t>
        </is>
      </c>
      <c r="F52" s="5" t="inlineStr">
        <is>
          <t>QBO</t>
        </is>
      </c>
      <c r="G52" s="6" t="inlineStr">
        <is>
          <t>≠ deuda Airtable ($4,979,650). Definir cuál manda</t>
        </is>
      </c>
      <c r="H52" s="7" t="inlineStr"/>
      <c r="I52" s="7" t="inlineStr"/>
      <c r="J52" s="7" t="inlineStr"/>
    </row>
    <row r="53" ht="22" customHeight="1">
      <c r="A53" s="4" t="inlineStr">
        <is>
          <t>8 · ANALÍTICA &amp; KPIs</t>
        </is>
      </c>
    </row>
    <row r="54" ht="30" customHeight="1">
      <c r="A54" s="5" t="n">
        <v>42</v>
      </c>
      <c r="B54" s="5" t="inlineStr">
        <is>
          <t>Analítica</t>
        </is>
      </c>
      <c r="C54" s="5" t="inlineStr">
        <is>
          <t>Total operaciones</t>
        </is>
      </c>
      <c r="D54" s="5" t="inlineStr">
        <is>
          <t>28 (19 renta/4 rehab/3 adq/2 vendidas)</t>
        </is>
      </c>
      <c r="E54" s="5" t="inlineStr">
        <is>
          <t>conteo histórico</t>
        </is>
      </c>
      <c r="F54" s="5" t="inlineStr">
        <is>
          <t>Airtable</t>
        </is>
      </c>
      <c r="G54" s="5" t="inlineStr"/>
      <c r="H54" s="7" t="inlineStr"/>
      <c r="I54" s="7" t="inlineStr"/>
      <c r="J54" s="7" t="inlineStr"/>
    </row>
    <row r="55" ht="30" customHeight="1">
      <c r="A55" s="5" t="n">
        <v>43</v>
      </c>
      <c r="B55" s="5" t="inlineStr">
        <is>
          <t>Analítica</t>
        </is>
      </c>
      <c r="C55" s="5" t="inlineStr">
        <is>
          <t>Ritmo de cierres</t>
        </is>
      </c>
      <c r="D55" s="5" t="inlineStr">
        <is>
          <t>1.4/mes</t>
        </is>
      </c>
      <c r="E55" s="5" t="inlineStr">
        <is>
          <t>cierres por mes</t>
        </is>
      </c>
      <c r="F55" s="5" t="inlineStr">
        <is>
          <t>Airtable (close_date)</t>
        </is>
      </c>
      <c r="G55" s="5" t="inlineStr"/>
      <c r="H55" s="7" t="inlineStr"/>
      <c r="I55" s="7" t="inlineStr"/>
      <c r="J55" s="7" t="inlineStr"/>
    </row>
    <row r="56" ht="30" customHeight="1">
      <c r="A56" s="5" t="n">
        <v>44</v>
      </c>
      <c r="B56" s="5" t="inlineStr">
        <is>
          <t>Analítica</t>
        </is>
      </c>
      <c r="C56" s="5" t="inlineStr">
        <is>
          <t>Vendidas / Ingreso por ventas</t>
        </is>
      </c>
      <c r="D56" s="5" t="inlineStr">
        <is>
          <t>2 / $615,000</t>
        </is>
      </c>
      <c r="E56" s="5" t="inlineStr">
        <is>
          <t>ventas realizadas</t>
        </is>
      </c>
      <c r="F56" s="5" t="inlineStr">
        <is>
          <t>Airtable</t>
        </is>
      </c>
      <c r="G56" s="6" t="inlineStr">
        <is>
          <t>'1 con datos de venta' — solo 1 casa tiene precio</t>
        </is>
      </c>
      <c r="H56" s="7" t="inlineStr"/>
      <c r="I56" s="7" t="inlineStr"/>
      <c r="J56" s="7" t="inlineStr"/>
    </row>
    <row r="57" ht="30" customHeight="1">
      <c r="A57" s="5" t="n">
        <v>45</v>
      </c>
      <c r="B57" s="5" t="inlineStr">
        <is>
          <t>Analítica</t>
        </is>
      </c>
      <c r="C57" s="5" t="inlineStr">
        <is>
          <t>Utilidad neta realizada / bruta</t>
        </is>
      </c>
      <c r="D57" s="5" t="inlineStr">
        <is>
          <t>$11,928 / $110,653</t>
        </is>
      </c>
      <c r="E57" s="5" t="inlineStr">
        <is>
          <t>utilidad de las vendidas</t>
        </is>
      </c>
      <c r="F57" s="5" t="inlineStr">
        <is>
          <t>Airtable</t>
        </is>
      </c>
      <c r="G57" s="6" t="inlineStr">
        <is>
          <t>¿por qué neta tan baja vs bruta? confirmar costos</t>
        </is>
      </c>
      <c r="H57" s="7" t="inlineStr"/>
      <c r="I57" s="7" t="inlineStr"/>
      <c r="J57" s="7" t="inlineStr"/>
    </row>
    <row r="58" ht="30" customHeight="1">
      <c r="A58" s="5" t="n">
        <v>46</v>
      </c>
      <c r="B58" s="5" t="inlineStr">
        <is>
          <t>Analítica</t>
        </is>
      </c>
      <c r="C58" s="5" t="inlineStr">
        <is>
          <t>ROI promedio</t>
        </is>
      </c>
      <c r="D58" s="5" t="inlineStr">
        <is>
          <t>7.0%</t>
        </is>
      </c>
      <c r="E58" s="5" t="inlineStr">
        <is>
          <t>utilidad ÷ inversión de vendidas</t>
        </is>
      </c>
      <c r="F58" s="5" t="inlineStr">
        <is>
          <t>Airtable / cálculo</t>
        </is>
      </c>
      <c r="G58" s="5" t="inlineStr"/>
      <c r="H58" s="7" t="inlineStr"/>
      <c r="I58" s="7" t="inlineStr"/>
      <c r="J58" s="7" t="inlineStr"/>
    </row>
    <row r="59" ht="22" customHeight="1">
      <c r="A59" s="4" t="inlineStr">
        <is>
          <t>9 · PORTAL DEL INVERSIONISTA (fuentes clave ya trabajadas)</t>
        </is>
      </c>
    </row>
    <row r="60" ht="30" customHeight="1">
      <c r="A60" s="5" t="n">
        <v>47</v>
      </c>
      <c r="B60" s="5" t="inlineStr">
        <is>
          <t>Portal Inversor</t>
        </is>
      </c>
      <c r="C60" s="5" t="inlineStr">
        <is>
          <t>% del inversionista (reparto_pct)</t>
        </is>
      </c>
      <c r="D60" s="5" t="inlineStr">
        <is>
          <t>por casa</t>
        </is>
      </c>
      <c r="E60" s="5" t="inlineStr">
        <is>
          <t>participación del inversionista</t>
        </is>
      </c>
      <c r="F60" s="5" t="inlineStr">
        <is>
          <t>Airtable Matriz → Propiedades → '% porcentaje del inversionista'</t>
        </is>
      </c>
      <c r="G60" s="6" t="inlineStr">
        <is>
          <t>confirmar que el sync lee de esa columna exacta</t>
        </is>
      </c>
      <c r="H60" s="7" t="inlineStr"/>
      <c r="I60" s="7" t="inlineStr"/>
      <c r="J60" s="7" t="inlineStr"/>
    </row>
    <row r="61" ht="30" customHeight="1">
      <c r="A61" s="5" t="n">
        <v>48</v>
      </c>
      <c r="B61" s="5" t="inlineStr">
        <is>
          <t>Portal Inversor</t>
        </is>
      </c>
      <c r="C61" s="5" t="inlineStr">
        <is>
          <t>Servicio de deuda (HML/refi)</t>
        </is>
      </c>
      <c r="D61" s="5" t="inlineStr">
        <is>
          <t>por mes</t>
        </is>
      </c>
      <c r="E61" s="5" t="inlineStr">
        <is>
          <t>interés HML + cuota refi</t>
        </is>
      </c>
      <c r="F61" s="5" t="inlineStr">
        <is>
          <t>ff_hml_payments (Airtable Pagos interés HML&amp;REFI)</t>
        </is>
      </c>
      <c r="G61" s="6" t="inlineStr">
        <is>
          <t>OK verificado</t>
        </is>
      </c>
      <c r="H61" s="7" t="inlineStr"/>
      <c r="I61" s="7" t="inlineStr"/>
      <c r="J61" s="7" t="inlineStr"/>
    </row>
    <row r="62" ht="30" customHeight="1">
      <c r="A62" s="5" t="n">
        <v>49</v>
      </c>
      <c r="B62" s="5" t="inlineStr">
        <is>
          <t>Portal Inversor</t>
        </is>
      </c>
      <c r="C62" s="5" t="inlineStr">
        <is>
          <t>Distribuciones</t>
        </is>
      </c>
      <c r="D62" s="5" t="inlineStr">
        <is>
          <t>inv_distributions</t>
        </is>
      </c>
      <c r="E62" s="5" t="inlineStr">
        <is>
          <t>pagos al inversionista</t>
        </is>
      </c>
      <c r="F62" s="5" t="inlineStr">
        <is>
          <t>carga admin (manual/automática)</t>
        </is>
      </c>
      <c r="G62" s="5" t="inlineStr"/>
      <c r="H62" s="7" t="inlineStr"/>
      <c r="I62" s="7" t="inlineStr"/>
      <c r="J62" s="7" t="inlineStr"/>
    </row>
    <row r="63" ht="22" customHeight="1">
      <c r="A63" s="4" t="inlineStr">
        <is>
          <t>10 · PREGUNTAS / DECISIONES ABIERTAS (para el CEO + Juan)</t>
        </is>
      </c>
    </row>
    <row r="64" ht="30" customHeight="1">
      <c r="A64" s="5" t="n">
        <v>50</v>
      </c>
      <c r="B64" s="5" t="inlineStr">
        <is>
          <t>Decisión</t>
        </is>
      </c>
      <c r="C64" s="5" t="inlineStr">
        <is>
          <t>Déficit: ¿fuente única?</t>
        </is>
      </c>
      <c r="D64" s="5" t="inlineStr"/>
      <c r="E64" s="5" t="inlineStr">
        <is>
          <t>¿Airtable ff_deals.deficit_total o fórmula CEO?</t>
        </is>
      </c>
      <c r="F64" s="5" t="inlineStr"/>
      <c r="G64" s="6" t="inlineStr">
        <is>
          <t>Hoy hay 3 números distintos. Elegir UNO</t>
        </is>
      </c>
      <c r="H64" s="7" t="inlineStr"/>
      <c r="I64" s="7" t="inlineStr"/>
      <c r="J64" s="7" t="inlineStr"/>
    </row>
    <row r="65" ht="30" customHeight="1">
      <c r="A65" s="5" t="n">
        <v>51</v>
      </c>
      <c r="B65" s="5" t="inlineStr">
        <is>
          <t>Decisión</t>
        </is>
      </c>
      <c r="C65" s="5" t="inlineStr">
        <is>
          <t>Deuda: ¿Airtable o QBO?</t>
        </is>
      </c>
      <c r="D65" s="5" t="inlineStr"/>
      <c r="E65" s="5" t="inlineStr">
        <is>
          <t>difieren ~$1M</t>
        </is>
      </c>
      <c r="F65" s="5" t="inlineStr"/>
      <c r="G65" s="6" t="inlineStr">
        <is>
          <t>Definir la fuente de verdad</t>
        </is>
      </c>
      <c r="H65" s="7" t="inlineStr"/>
      <c r="I65" s="7" t="inlineStr"/>
      <c r="J65" s="7" t="inlineStr"/>
    </row>
    <row r="66" ht="30" customHeight="1">
      <c r="A66" s="5" t="n">
        <v>52</v>
      </c>
      <c r="B66" s="5" t="inlineStr">
        <is>
          <t>Decisión</t>
        </is>
      </c>
      <c r="C66" s="5" t="inlineStr">
        <is>
          <t>Home unificada: ¿qué debe mostrar?</t>
        </is>
      </c>
      <c r="D66" s="5" t="inlineStr"/>
      <c r="E66" s="5" t="inlineStr">
        <is>
          <t>hub de sistemas</t>
        </is>
      </c>
      <c r="F66" s="5" t="inlineStr"/>
      <c r="G66" s="6" t="inlineStr">
        <is>
          <t>Ajuste 01</t>
        </is>
      </c>
      <c r="H66" s="7" t="inlineStr"/>
      <c r="I66" s="7" t="inlineStr"/>
      <c r="J66" s="7" t="inlineStr"/>
    </row>
    <row r="67" ht="30" customHeight="1">
      <c r="A67" s="5" t="n">
        <v>53</v>
      </c>
      <c r="B67" s="5" t="inlineStr">
        <is>
          <t>Decisión</t>
        </is>
      </c>
      <c r="C67" s="5" t="inlineStr">
        <is>
          <t>Ficha 360° por casa (activo/acción)</t>
        </is>
      </c>
      <c r="D67" s="5" t="inlineStr"/>
      <c r="E67" s="5" t="inlineStr">
        <is>
          <t>foto + números + rendimiento + decisiones</t>
        </is>
      </c>
      <c r="F67" s="5" t="inlineStr"/>
      <c r="G67" s="6" t="inlineStr">
        <is>
          <t>Ajuste 06 — visión del CEO</t>
        </is>
      </c>
      <c r="H67" s="7" t="inlineStr"/>
      <c r="I67" s="7" t="inlineStr"/>
      <c r="J67" s="7" t="inlineStr"/>
    </row>
  </sheetData>
  <mergeCells count="12">
    <mergeCell ref="A1:J1"/>
    <mergeCell ref="A5:J5"/>
    <mergeCell ref="A45:J45"/>
    <mergeCell ref="A31:J31"/>
    <mergeCell ref="A53:J53"/>
    <mergeCell ref="A15:J15"/>
    <mergeCell ref="A7:J7"/>
    <mergeCell ref="A35:J35"/>
    <mergeCell ref="A59:J59"/>
    <mergeCell ref="A2:J2"/>
    <mergeCell ref="A25:J25"/>
    <mergeCell ref="A63:J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2026-08-19T18:34:56Z</dcterms:created>
  <dcterms:modified xmlns:dcterms="http://purl.org/dc/terms/" xmlns:xsi="http://www.w3.org/2001/XMLSchema-instance" xsi:type="dcterms:W3CDTF">2026-08-19T18:34:56Z</dcterms:modified>
</cp:coreProperties>
</file>